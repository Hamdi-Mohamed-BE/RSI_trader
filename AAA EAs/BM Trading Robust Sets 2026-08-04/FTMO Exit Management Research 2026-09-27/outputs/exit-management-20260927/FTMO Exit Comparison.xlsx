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d3b670513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tive" sheetId="1" r:id="R11306fb19de44f31"/>
    <x:sheet xmlns:r="http://schemas.openxmlformats.org/officeDocument/2006/relationships" name="Portfolio" sheetId="2" r:id="Rf715294e2f1047c6"/>
    <x:sheet xmlns:r="http://schemas.openxmlformats.org/officeDocument/2006/relationships" name="Funding" sheetId="3" r:id="R32d496f66d764c03"/>
    <x:sheet xmlns:r="http://schemas.openxmlformats.org/officeDocument/2006/relationships" name="Notes" sheetId="4" r:id="Rd64d7d8fdb7b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.00;[Red](&quot;$&quot;#,##0.00);&quot;$&quot;0.00"/>
    <x:numFmt numFmtId="201" formatCode="0.00%"/>
    <x:numFmt numFmtId="202" formatCode="0.0"/>
    <x:numFmt numFmtId="203" formatCode="0.00"/>
    <x:numFmt numFmtId="204" formatCode="0.0%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1"/>
      <x:color rgb="FF536174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34B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9514ac6b74598" /><Relationship Type="http://schemas.openxmlformats.org/officeDocument/2006/relationships/theme" Target="/xl/theme/theme1.xml" Id="R2b4baa276a744215" /><Relationship Type="http://schemas.openxmlformats.org/officeDocument/2006/relationships/sharedStrings" Target="/xl/sharedStrings.xml" Id="R0d15bfddb7994b2f" /><Relationship Type="http://schemas.openxmlformats.org/officeDocument/2006/relationships/worksheet" Target="/xl/worksheets/sheet1.xml" Id="R11306fb19de44f31" /><Relationship Type="http://schemas.openxmlformats.org/officeDocument/2006/relationships/worksheet" Target="/xl/worksheets/sheet2.xml" Id="Rf715294e2f1047c6" /><Relationship Type="http://schemas.openxmlformats.org/officeDocument/2006/relationships/worksheet" Target="/xl/worksheets/sheet3.xml" Id="R32d496f66d764c03" /><Relationship Type="http://schemas.openxmlformats.org/officeDocument/2006/relationships/worksheet" Target="/xl/worksheets/sheet4.xml" Id="Rd64d7d8fdb7b46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9" hidden="0" customWidth="1"/>
    <x:col min="3" max="3" width="10" hidden="0" customWidth="1"/>
    <x:col min="4" max="4" width="13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1" hidden="0" customWidth="1"/>
    <x:col min="11" max="11" width="11" hidden="0" customWidth="1"/>
  </x:cols>
  <x:sheetData>
    <x:row r="1">
      <x:c r="A1" s="2" t="str">
        <x:v>Native MT5 exit tests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2 March–30 August 2026. Independent source sizing; equity DD from MT5.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42" customHeight="1">
      <x:c r="A4" s="6" t="str">
        <x:v>EA</x:v>
      </x:c>
      <x:c r="B4" s="6" t="str">
        <x:v>Exit</x:v>
      </x:c>
      <x:c r="C4" s="6" t="str">
        <x:v>Trades</x:v>
      </x:c>
      <x:c r="D4" s="6" t="str">
        <x:v>Trades / week</x:v>
      </x:c>
      <x:c r="E4" s="6" t="str">
        <x:v>Net USD</x:v>
      </x:c>
      <x:c r="F4" s="6" t="str">
        <x:v>Return</x:v>
      </x:c>
      <x:c r="G4" s="6" t="str">
        <x:v>Win rate</x:v>
      </x:c>
      <x:c r="H4" s="6" t="str">
        <x:v>Profit factor</x:v>
      </x:c>
      <x:c r="I4" s="6" t="str">
        <x:v>Equity DD</x:v>
      </x:c>
      <x:c r="J4" s="6" t="str">
        <x:v>Max wins</x:v>
      </x:c>
      <x:c r="K4" s="6" t="str">
        <x:v>Max losses</x:v>
      </x:c>
    </x:row>
    <x:row r="5" ht="32" customHeight="1">
      <x:c r="A5" s="7" t="str">
        <x:v>Gold Overnight Value Area (raw)</x:v>
      </x:c>
      <x:c r="B5" s="7" t="str">
        <x:v>Current/native</x:v>
      </x:c>
      <x:c r="C5" s="8" t="n">
        <x:v>100</x:v>
      </x:c>
      <x:c r="D5" s="11" t="n">
        <x:v>3.8461538461538463</x:v>
      </x:c>
      <x:c r="E5" s="9" t="n">
        <x:v>1393.72</x:v>
      </x:c>
      <x:c r="F5" s="10" t="n">
        <x:f>E5/'Notes'!$B$6</x:f>
        <x:v>0.139372</x:v>
      </x:c>
      <x:c r="G5" s="10" t="n">
        <x:v>0.75</x:v>
      </x:c>
      <x:c r="H5" s="12" t="n">
        <x:v>1.86</x:v>
      </x:c>
      <x:c r="I5" s="10" t="n">
        <x:v>0.0381</x:v>
      </x:c>
      <x:c r="J5" s="8" t="n">
        <x:v>11</x:v>
      </x:c>
      <x:c r="K5" s="8" t="n">
        <x:v>3</x:v>
      </x:c>
    </x:row>
    <x:row r="6" ht="32" customHeight="1">
      <x:c r="A6" s="7" t="str">
        <x:v>Gold Overnight Value Area (raw)</x:v>
      </x:c>
      <x:c r="B6" s="7" t="str">
        <x:v>Fixed 0.75R</x:v>
      </x:c>
      <x:c r="C6" s="8" t="n">
        <x:v>101</x:v>
      </x:c>
      <x:c r="D6" s="11" t="n">
        <x:v>3.8846153846153846</x:v>
      </x:c>
      <x:c r="E6" s="9" t="n">
        <x:v>1008.17</x:v>
      </x:c>
      <x:c r="F6" s="10" t="n">
        <x:f>E6/'Notes'!$B$6</x:f>
        <x:v>0.10081699999999999</x:v>
      </x:c>
      <x:c r="G6" s="10" t="n">
        <x:v>0.505</x:v>
      </x:c>
      <x:c r="H6" s="12" t="n">
        <x:v>1.33</x:v>
      </x:c>
      <x:c r="I6" s="10" t="n">
        <x:v>0.0653</x:v>
      </x:c>
      <x:c r="J6" s="8" t="n">
        <x:v>4</x:v>
      </x:c>
      <x:c r="K6" s="8" t="n">
        <x:v>7</x:v>
      </x:c>
    </x:row>
    <x:row r="7" ht="32" customHeight="1">
      <x:c r="A7" s="7" t="str">
        <x:v>Gold Overnight Value Area (raw)</x:v>
      </x:c>
      <x:c r="B7" s="7" t="str">
        <x:v>Fixed 0.50R</x:v>
      </x:c>
      <x:c r="C7" s="8" t="n">
        <x:v>101</x:v>
      </x:c>
      <x:c r="D7" s="11" t="n">
        <x:v>3.8846153846153846</x:v>
      </x:c>
      <x:c r="E7" s="9" t="n">
        <x:v>905.46</x:v>
      </x:c>
      <x:c r="F7" s="10" t="n">
        <x:f>E7/'Notes'!$B$6</x:f>
        <x:v>0.090546</x:v>
      </x:c>
      <x:c r="G7" s="10" t="n">
        <x:v>0.604</x:v>
      </x:c>
      <x:c r="H7" s="12" t="n">
        <x:v>1.35</x:v>
      </x:c>
      <x:c r="I7" s="10" t="n">
        <x:v>0.042199999999999994</x:v>
      </x:c>
      <x:c r="J7" s="8" t="n">
        <x:v>6</x:v>
      </x:c>
      <x:c r="K7" s="8" t="n">
        <x:v>4</x:v>
      </x:c>
    </x:row>
    <x:row r="8" ht="32" customHeight="1">
      <x:c r="A8" s="7" t="str">
        <x:v>Gold Overnight Value Area (raw)</x:v>
      </x:c>
      <x:c r="B8" s="7" t="str">
        <x:v>M15 ATR trailing</x:v>
      </x:c>
      <x:c r="C8" s="8" t="n">
        <x:v>101</x:v>
      </x:c>
      <x:c r="D8" s="11" t="n">
        <x:v>3.8846153846153846</x:v>
      </x:c>
      <x:c r="E8" s="9" t="n">
        <x:v>1164.16</x:v>
      </x:c>
      <x:c r="F8" s="10" t="n">
        <x:f>E8/'Notes'!$B$6</x:f>
        <x:v>0.116416</x:v>
      </x:c>
      <x:c r="G8" s="10" t="n">
        <x:v>0.4653</x:v>
      </x:c>
      <x:c r="H8" s="12" t="n">
        <x:v>1.36</x:v>
      </x:c>
      <x:c r="I8" s="10" t="n">
        <x:v>0.08869999999999999</x:v>
      </x:c>
      <x:c r="J8" s="8" t="n">
        <x:v>4</x:v>
      </x:c>
      <x:c r="K8" s="8" t="n">
        <x:v>7</x:v>
      </x:c>
    </x:row>
    <x:row r="9" ht="32" customHeight="1">
      <x:c r="A9" s="7" t="str">
        <x:v>Gold Overnight Value Area (raw)</x:v>
      </x:c>
      <x:c r="B9" s="7" t="str">
        <x:v>Previous-session profile trailing</x:v>
      </x:c>
      <x:c r="C9" s="8" t="n">
        <x:v>101</x:v>
      </x:c>
      <x:c r="D9" s="11" t="n">
        <x:v>3.8846153846153846</x:v>
      </x:c>
      <x:c r="E9" s="9" t="n">
        <x:v>908.91</x:v>
      </x:c>
      <x:c r="F9" s="10" t="n">
        <x:f>E9/'Notes'!$B$6</x:f>
        <x:v>0.090891</x:v>
      </x:c>
      <x:c r="G9" s="10" t="n">
        <x:v>0.4752</x:v>
      </x:c>
      <x:c r="H9" s="12" t="n">
        <x:v>1.29</x:v>
      </x:c>
      <x:c r="I9" s="10" t="n">
        <x:v>0.071</x:v>
      </x:c>
      <x:c r="J9" s="8" t="n">
        <x:v>4</x:v>
      </x:c>
      <x:c r="K9" s="8" t="n">
        <x:v>7</x:v>
      </x:c>
    </x:row>
    <x:row r="10" ht="32" customHeight="1">
      <x:c r="A10" s="7" t="str">
        <x:v>Nasdaq Overnight</x:v>
      </x:c>
      <x:c r="B10" s="7" t="str">
        <x:v>Current/native</x:v>
      </x:c>
      <x:c r="C10" s="8" t="n">
        <x:v>57</x:v>
      </x:c>
      <x:c r="D10" s="11" t="n">
        <x:v>2.1923076923076925</x:v>
      </x:c>
      <x:c r="E10" s="9" t="n">
        <x:v>562.85</x:v>
      </x:c>
      <x:c r="F10" s="10" t="n">
        <x:f>E10/'Notes'!$B$6</x:f>
        <x:v>0.056285</x:v>
      </x:c>
      <x:c r="G10" s="10" t="n">
        <x:v>0.6315999999999999</x:v>
      </x:c>
      <x:c r="H10" s="12" t="n">
        <x:v>1.55</x:v>
      </x:c>
      <x:c r="I10" s="10" t="n">
        <x:v>0.0254</x:v>
      </x:c>
      <x:c r="J10" s="8" t="n">
        <x:v>10</x:v>
      </x:c>
      <x:c r="K10" s="8" t="n">
        <x:v>3</x:v>
      </x:c>
    </x:row>
    <x:row r="11" ht="32" customHeight="1">
      <x:c r="A11" s="7" t="str">
        <x:v>Nasdaq Overnight</x:v>
      </x:c>
      <x:c r="B11" s="7" t="str">
        <x:v>Fixed 0.75R</x:v>
      </x:c>
      <x:c r="C11" s="8" t="n">
        <x:v>57</x:v>
      </x:c>
      <x:c r="D11" s="11" t="n">
        <x:v>2.1923076923076925</x:v>
      </x:c>
      <x:c r="E11" s="9" t="n">
        <x:v>516.11</x:v>
      </x:c>
      <x:c r="F11" s="10" t="n">
        <x:f>E11/'Notes'!$B$6</x:f>
        <x:v>0.051611000000000004</x:v>
      </x:c>
      <x:c r="G11" s="10" t="n">
        <x:v>0.6315999999999999</x:v>
      </x:c>
      <x:c r="H11" s="12" t="n">
        <x:v>1.5</x:v>
      </x:c>
      <x:c r="I11" s="10" t="n">
        <x:v>0.0229</x:v>
      </x:c>
      <x:c r="J11" s="8" t="n">
        <x:v>10</x:v>
      </x:c>
      <x:c r="K11" s="8" t="n">
        <x:v>3</x:v>
      </x:c>
    </x:row>
    <x:row r="12" ht="32" customHeight="1">
      <x:c r="A12" s="7" t="str">
        <x:v>Nasdaq Overnight</x:v>
      </x:c>
      <x:c r="B12" s="7" t="str">
        <x:v>Fixed 0.50R</x:v>
      </x:c>
      <x:c r="C12" s="8" t="n">
        <x:v>57</x:v>
      </x:c>
      <x:c r="D12" s="11" t="n">
        <x:v>2.1923076923076925</x:v>
      </x:c>
      <x:c r="E12" s="9" t="n">
        <x:v>325.02</x:v>
      </x:c>
      <x:c r="F12" s="10" t="n">
        <x:f>E12/'Notes'!$B$6</x:f>
        <x:v>0.032501999999999996</x:v>
      </x:c>
      <x:c r="G12" s="10" t="n">
        <x:v>0.6315999999999999</x:v>
      </x:c>
      <x:c r="H12" s="12" t="n">
        <x:v>1.32</x:v>
      </x:c>
      <x:c r="I12" s="10" t="n">
        <x:v>0.024900000000000002</x:v>
      </x:c>
      <x:c r="J12" s="8" t="n">
        <x:v>10</x:v>
      </x:c>
      <x:c r="K12" s="8" t="n">
        <x:v>3</x:v>
      </x:c>
    </x:row>
    <x:row r="13" ht="32" customHeight="1">
      <x:c r="A13" s="7" t="str">
        <x:v>Nasdaq Overnight</x:v>
      </x:c>
      <x:c r="B13" s="7" t="str">
        <x:v>M15 ATR trailing</x:v>
      </x:c>
      <x:c r="C13" s="8" t="n">
        <x:v>57</x:v>
      </x:c>
      <x:c r="D13" s="11" t="n">
        <x:v>2.1923076923076925</x:v>
      </x:c>
      <x:c r="E13" s="9" t="n">
        <x:v>513.13</x:v>
      </x:c>
      <x:c r="F13" s="10" t="n">
        <x:f>E13/'Notes'!$B$6</x:f>
        <x:v>0.051313</x:v>
      </x:c>
      <x:c r="G13" s="10" t="n">
        <x:v>0.6315999999999999</x:v>
      </x:c>
      <x:c r="H13" s="12" t="n">
        <x:v>1.5</x:v>
      </x:c>
      <x:c r="I13" s="10" t="n">
        <x:v>0.0252</x:v>
      </x:c>
      <x:c r="J13" s="8" t="n">
        <x:v>10</x:v>
      </x:c>
      <x:c r="K13" s="8" t="n">
        <x:v>3</x:v>
      </x:c>
    </x:row>
    <x:row r="14" ht="32" customHeight="1">
      <x:c r="A14" s="7" t="str">
        <x:v>EMA3 Full Safe</x:v>
      </x:c>
      <x:c r="B14" s="7" t="str">
        <x:v>Current/native</x:v>
      </x:c>
      <x:c r="C14" s="8" t="n">
        <x:v>19</x:v>
      </x:c>
      <x:c r="D14" s="11" t="n">
        <x:v>0.7307692307692307</x:v>
      </x:c>
      <x:c r="E14" s="9" t="n">
        <x:v>-128.04</x:v>
      </x:c>
      <x:c r="F14" s="10" t="n">
        <x:f>E14/'Notes'!$B$6</x:f>
        <x:v>-0.012804</x:v>
      </x:c>
      <x:c r="G14" s="10" t="n">
        <x:v>0.47369999999999995</x:v>
      </x:c>
      <x:c r="H14" s="12" t="n">
        <x:v>0.92</x:v>
      </x:c>
      <x:c r="I14" s="10" t="n">
        <x:v>0.07400000000000001</x:v>
      </x:c>
      <x:c r="J14" s="8" t="n">
        <x:v>2</x:v>
      </x:c>
      <x:c r="K14" s="8" t="n">
        <x:v>3</x:v>
      </x:c>
    </x:row>
    <x:row r="15" ht="32" customHeight="1">
      <x:c r="A15" s="7" t="str">
        <x:v>EMA3 Full Safe</x:v>
      </x:c>
      <x:c r="B15" s="7" t="str">
        <x:v>Fixed 0.75R</x:v>
      </x:c>
      <x:c r="C15" s="8" t="n">
        <x:v>26</x:v>
      </x:c>
      <x:c r="D15" s="11" t="n">
        <x:v>1</x:v>
      </x:c>
      <x:c r="E15" s="9" t="n">
        <x:v>243.22</x:v>
      </x:c>
      <x:c r="F15" s="10" t="n">
        <x:f>E15/'Notes'!$B$6</x:f>
        <x:v>0.024322</x:v>
      </x:c>
      <x:c r="G15" s="10" t="n">
        <x:v>0.7692</x:v>
      </x:c>
      <x:c r="H15" s="12" t="n">
        <x:v>1.2</x:v>
      </x:c>
      <x:c r="I15" s="10" t="n">
        <x:v>0.0613</x:v>
      </x:c>
      <x:c r="J15" s="8" t="n">
        <x:v>10</x:v>
      </x:c>
      <x:c r="K15" s="8" t="n">
        <x:v>2</x:v>
      </x:c>
    </x:row>
    <x:row r="16" ht="32" customHeight="1">
      <x:c r="A16" s="7" t="str">
        <x:v>EMA3 Full Safe</x:v>
      </x:c>
      <x:c r="B16" s="7" t="str">
        <x:v>Fixed 0.50R</x:v>
      </x:c>
      <x:c r="C16" s="8" t="n">
        <x:v>36</x:v>
      </x:c>
      <x:c r="D16" s="11" t="n">
        <x:v>1.3846153846153846</x:v>
      </x:c>
      <x:c r="E16" s="9" t="n">
        <x:v>-157.52</x:v>
      </x:c>
      <x:c r="F16" s="10" t="n">
        <x:f>E16/'Notes'!$B$6</x:f>
        <x:v>-0.015752000000000002</x:v>
      </x:c>
      <x:c r="G16" s="10" t="n">
        <x:v>0.75</x:v>
      </x:c>
      <x:c r="H16" s="12" t="n">
        <x:v>0.91</x:v>
      </x:c>
      <x:c r="I16" s="10" t="n">
        <x:v>0.0663</x:v>
      </x:c>
      <x:c r="J16" s="8" t="n">
        <x:v>7</x:v>
      </x:c>
      <x:c r="K16" s="8" t="n">
        <x:v>2</x:v>
      </x:c>
    </x:row>
    <x:row r="17" ht="32" customHeight="1">
      <x:c r="A17" s="7" t="str">
        <x:v>EMA3 Full Safe</x:v>
      </x:c>
      <x:c r="B17" s="7" t="str">
        <x:v>M15 ATR trailing</x:v>
      </x:c>
      <x:c r="C17" s="8" t="n">
        <x:v>25</x:v>
      </x:c>
      <x:c r="D17" s="11" t="n">
        <x:v>0.9615384615384616</x:v>
      </x:c>
      <x:c r="E17" s="9" t="n">
        <x:v>-472.94</x:v>
      </x:c>
      <x:c r="F17" s="10" t="n">
        <x:f>E17/'Notes'!$B$6</x:f>
        <x:v>-0.047294</x:v>
      </x:c>
      <x:c r="G17" s="10" t="n">
        <x:v>0.56</x:v>
      </x:c>
      <x:c r="H17" s="12" t="n">
        <x:v>0.76</x:v>
      </x:c>
      <x:c r="I17" s="10" t="n">
        <x:v>0.1027</x:v>
      </x:c>
      <x:c r="J17" s="8" t="n">
        <x:v>3</x:v>
      </x:c>
      <x:c r="K17" s="8" t="n">
        <x:v>4</x:v>
      </x:c>
    </x:row>
    <x:row r="18" ht="32" customHeight="1">
      <x:c r="A18" s="7" t="str">
        <x:v>ORB Volume Profile (saved 0.75R)</x:v>
      </x:c>
      <x:c r="B18" s="7" t="str">
        <x:v>Current/native</x:v>
      </x:c>
      <x:c r="C18" s="8" t="n">
        <x:v>36</x:v>
      </x:c>
      <x:c r="D18" s="11" t="n">
        <x:v>1.3846153846153846</x:v>
      </x:c>
      <x:c r="E18" s="9" t="n">
        <x:v>353.5</x:v>
      </x:c>
      <x:c r="F18" s="10" t="n">
        <x:f>E18/'Notes'!$B$6</x:f>
        <x:v>0.03535</x:v>
      </x:c>
      <x:c r="G18" s="10" t="n">
        <x:v>0.6389</x:v>
      </x:c>
      <x:c r="H18" s="12" t="n">
        <x:v>1.3</x:v>
      </x:c>
      <x:c r="I18" s="10" t="n">
        <x:v>0.0484</x:v>
      </x:c>
      <x:c r="J18" s="8" t="n">
        <x:v>6</x:v>
      </x:c>
      <x:c r="K18" s="8" t="n">
        <x:v>3</x:v>
      </x:c>
    </x:row>
    <x:row r="19" ht="32" customHeight="1">
      <x:c r="A19" s="7" t="str">
        <x:v>ORB Volume Profile (saved 0.75R)</x:v>
      </x:c>
      <x:c r="B19" s="7" t="str">
        <x:v>Fixed 0.75R</x:v>
      </x:c>
      <x:c r="C19" s="8" t="n">
        <x:v>36</x:v>
      </x:c>
      <x:c r="D19" s="11" t="n">
        <x:v>1.3846153846153846</x:v>
      </x:c>
      <x:c r="E19" s="9" t="n">
        <x:v>353.5</x:v>
      </x:c>
      <x:c r="F19" s="10" t="n">
        <x:f>E19/'Notes'!$B$6</x:f>
        <x:v>0.03535</x:v>
      </x:c>
      <x:c r="G19" s="10" t="n">
        <x:v>0.6389</x:v>
      </x:c>
      <x:c r="H19" s="12" t="n">
        <x:v>1.3</x:v>
      </x:c>
      <x:c r="I19" s="10" t="n">
        <x:v>0.0484</x:v>
      </x:c>
      <x:c r="J19" s="8" t="n">
        <x:v>6</x:v>
      </x:c>
      <x:c r="K19" s="8" t="n">
        <x:v>3</x:v>
      </x:c>
    </x:row>
    <x:row r="20" ht="32" customHeight="1">
      <x:c r="A20" s="7" t="str">
        <x:v>ORB Volume Profile (saved 0.75R)</x:v>
      </x:c>
      <x:c r="B20" s="7" t="str">
        <x:v>Fixed 0.50R</x:v>
      </x:c>
      <x:c r="C20" s="8" t="n">
        <x:v>36</x:v>
      </x:c>
      <x:c r="D20" s="11" t="n">
        <x:v>1.3846153846153846</x:v>
      </x:c>
      <x:c r="E20" s="9" t="n">
        <x:v>380.02</x:v>
      </x:c>
      <x:c r="F20" s="10" t="n">
        <x:f>E20/'Notes'!$B$6</x:f>
        <x:v>0.038002</x:v>
      </x:c>
      <x:c r="G20" s="10" t="n">
        <x:v>0.7222</x:v>
      </x:c>
      <x:c r="H20" s="12" t="n">
        <x:v>1.41</x:v>
      </x:c>
      <x:c r="I20" s="10" t="n">
        <x:v>0.0308</x:v>
      </x:c>
      <x:c r="J20" s="8" t="n">
        <x:v>9</x:v>
      </x:c>
      <x:c r="K20" s="8" t="n">
        <x:v>2</x:v>
      </x:c>
    </x:row>
    <x:row r="21" ht="32" customHeight="1">
      <x:c r="A21" s="7" t="str">
        <x:v>ORB Volume Profile (saved 0.75R)</x:v>
      </x:c>
      <x:c r="B21" s="7" t="str">
        <x:v>M15 ATR trailing</x:v>
      </x:c>
      <x:c r="C21" s="8" t="n">
        <x:v>36</x:v>
      </x:c>
      <x:c r="D21" s="11" t="n">
        <x:v>1.3846153846153846</x:v>
      </x:c>
      <x:c r="E21" s="9" t="n">
        <x:v>1025.28</x:v>
      </x:c>
      <x:c r="F21" s="10" t="n">
        <x:f>E21/'Notes'!$B$6</x:f>
        <x:v>0.102528</x:v>
      </x:c>
      <x:c r="G21" s="10" t="n">
        <x:v>0.5278</x:v>
      </x:c>
      <x:c r="H21" s="12" t="n">
        <x:v>1.67</x:v>
      </x:c>
      <x:c r="I21" s="10" t="n">
        <x:v>0.0658</x:v>
      </x:c>
      <x:c r="J21" s="8" t="n">
        <x:v>6</x:v>
      </x:c>
      <x:c r="K21" s="8" t="n">
        <x:v>3</x:v>
      </x:c>
    </x:row>
    <x:row r="22" ht="32" customHeight="1">
      <x:c r="A22" s="7" t="str">
        <x:v>ORB Volume Profile (saved 0.75R)</x:v>
      </x:c>
      <x:c r="B22" s="7" t="str">
        <x:v>Previous-session profile trailing</x:v>
      </x:c>
      <x:c r="C22" s="8" t="n">
        <x:v>36</x:v>
      </x:c>
      <x:c r="D22" s="11" t="n">
        <x:v>1.3846153846153846</x:v>
      </x:c>
      <x:c r="E22" s="9" t="n">
        <x:v>1088.4</x:v>
      </x:c>
      <x:c r="F22" s="10" t="n">
        <x:f>E22/'Notes'!$B$6</x:f>
        <x:v>0.10884</x:v>
      </x:c>
      <x:c r="G22" s="10" t="n">
        <x:v>0.5278</x:v>
      </x:c>
      <x:c r="H22" s="12" t="n">
        <x:v>1.71</x:v>
      </x:c>
      <x:c r="I22" s="10" t="n">
        <x:v>0.0679</x:v>
      </x:c>
      <x:c r="J22" s="8" t="n">
        <x:v>6</x:v>
      </x:c>
      <x:c r="K22" s="8" t="n">
        <x:v>3</x:v>
      </x:c>
    </x:row>
    <x:row r="23" ht="32" customHeight="1">
      <x:c r="A23" s="7" t="str">
        <x:v>News Pulse XAU</x:v>
      </x:c>
      <x:c r="B23" s="7" t="str">
        <x:v>Current/native</x:v>
      </x:c>
      <x:c r="C23" s="8" t="n">
        <x:v>20</x:v>
      </x:c>
      <x:c r="D23" s="11" t="n">
        <x:v>0.7692307692307693</x:v>
      </x:c>
      <x:c r="E23" s="9" t="n">
        <x:v>12043.09</x:v>
      </x:c>
      <x:c r="F23" s="10" t="n">
        <x:f>E23/'Notes'!$B$6</x:f>
        <x:v>1.204309</x:v>
      </x:c>
      <x:c r="G23" s="10" t="n">
        <x:v>0.6</x:v>
      </x:c>
      <x:c r="H23" s="12" t="n">
        <x:v>12.81</x:v>
      </x:c>
      <x:c r="I23" s="10" t="n">
        <x:v>0.0665</x:v>
      </x:c>
      <x:c r="J23" s="8" t="n">
        <x:v>8</x:v>
      </x:c>
      <x:c r="K23" s="8" t="n">
        <x:v>4</x:v>
      </x:c>
    </x:row>
    <x:row r="24" ht="32" customHeight="1">
      <x:c r="A24" s="7" t="str">
        <x:v>News Pulse XAU</x:v>
      </x:c>
      <x:c r="B24" s="7" t="str">
        <x:v>Fixed 0.75R</x:v>
      </x:c>
      <x:c r="C24" s="8" t="n">
        <x:v>20</x:v>
      </x:c>
      <x:c r="D24" s="11" t="n">
        <x:v>0.7692307692307693</x:v>
      </x:c>
      <x:c r="E24" s="9" t="n">
        <x:v>611.08</x:v>
      </x:c>
      <x:c r="F24" s="10" t="n">
        <x:f>E24/'Notes'!$B$6</x:f>
        <x:v>0.061108</x:v>
      </x:c>
      <x:c r="G24" s="10" t="n">
        <x:v>0.8</x:v>
      </x:c>
      <x:c r="H24" s="12" t="n">
        <x:v>2.72</x:v>
      </x:c>
      <x:c r="I24" s="10" t="n">
        <x:v>0.011399999999999999</x:v>
      </x:c>
      <x:c r="J24" s="8" t="n">
        <x:v>9</x:v>
      </x:c>
      <x:c r="K24" s="8" t="n">
        <x:v>1</x:v>
      </x:c>
    </x:row>
    <x:row r="25" ht="32" customHeight="1">
      <x:c r="A25" s="7" t="str">
        <x:v>News Pulse XAU</x:v>
      </x:c>
      <x:c r="B25" s="7" t="str">
        <x:v>Fixed 0.50R</x:v>
      </x:c>
      <x:c r="C25" s="8" t="n">
        <x:v>20</x:v>
      </x:c>
      <x:c r="D25" s="11" t="n">
        <x:v>0.7692307692307693</x:v>
      </x:c>
      <x:c r="E25" s="9" t="n">
        <x:v>463.28</x:v>
      </x:c>
      <x:c r="F25" s="10" t="n">
        <x:f>E25/'Notes'!$B$6</x:f>
        <x:v>0.046327999999999994</x:v>
      </x:c>
      <x:c r="G25" s="10" t="n">
        <x:v>0.8</x:v>
      </x:c>
      <x:c r="H25" s="12" t="n">
        <x:v>2.69</x:v>
      </x:c>
      <x:c r="I25" s="10" t="n">
        <x:v>0.01</x:v>
      </x:c>
      <x:c r="J25" s="8" t="n">
        <x:v>9</x:v>
      </x:c>
      <x:c r="K25" s="8" t="n">
        <x:v>1</x:v>
      </x:c>
    </x:row>
    <x:row r="26" ht="32" customHeight="1">
      <x:c r="A26" s="7" t="str">
        <x:v>News Pulse XAG</x:v>
      </x:c>
      <x:c r="B26" s="7" t="str">
        <x:v>Current/native</x:v>
      </x:c>
      <x:c r="C26" s="8" t="n">
        <x:v>16</x:v>
      </x:c>
      <x:c r="D26" s="11" t="n">
        <x:v>0.6153846153846154</x:v>
      </x:c>
      <x:c r="E26" s="9" t="n">
        <x:v>25731.05</x:v>
      </x:c>
      <x:c r="F26" s="10" t="n">
        <x:f>E26/'Notes'!$B$6</x:f>
        <x:v>2.573105</x:v>
      </x:c>
      <x:c r="G26" s="10" t="n">
        <x:v>0.4375</x:v>
      </x:c>
      <x:c r="H26" s="12" t="n">
        <x:v>7.66</x:v>
      </x:c>
      <x:c r="I26" s="10" t="n">
        <x:v>0.08289999999999999</x:v>
      </x:c>
      <x:c r="J26" s="8" t="n">
        <x:v>2</x:v>
      </x:c>
      <x:c r="K26" s="8" t="n">
        <x:v>4</x:v>
      </x:c>
    </x:row>
    <x:row r="27" ht="32" customHeight="1">
      <x:c r="A27" s="7" t="str">
        <x:v>News Pulse XAG</x:v>
      </x:c>
      <x:c r="B27" s="7" t="str">
        <x:v>Fixed 0.75R</x:v>
      </x:c>
      <x:c r="C27" s="8" t="n">
        <x:v>16</x:v>
      </x:c>
      <x:c r="D27" s="11" t="n">
        <x:v>0.6153846153846154</x:v>
      </x:c>
      <x:c r="E27" s="9" t="n">
        <x:v>151.55</x:v>
      </x:c>
      <x:c r="F27" s="10" t="n">
        <x:f>E27/'Notes'!$B$6</x:f>
        <x:v>0.015155000000000002</x:v>
      </x:c>
      <x:c r="G27" s="10" t="n">
        <x:v>0.6875</x:v>
      </x:c>
      <x:c r="H27" s="12" t="n">
        <x:v>1.11</x:v>
      </x:c>
      <x:c r="I27" s="10" t="n">
        <x:v>0.0421</x:v>
      </x:c>
      <x:c r="J27" s="8" t="n">
        <x:v>3</x:v>
      </x:c>
      <x:c r="K27" s="8" t="n">
        <x:v>3</x:v>
      </x:c>
    </x:row>
    <x:row r="28" ht="32" customHeight="1">
      <x:c r="A28" s="7" t="str">
        <x:v>News Pulse XAG</x:v>
      </x:c>
      <x:c r="B28" s="7" t="str">
        <x:v>Fixed 0.50R</x:v>
      </x:c>
      <x:c r="C28" s="8" t="n">
        <x:v>16</x:v>
      </x:c>
      <x:c r="D28" s="11" t="n">
        <x:v>0.6153846153846154</x:v>
      </x:c>
      <x:c r="E28" s="9" t="n">
        <x:v>-140.9</x:v>
      </x:c>
      <x:c r="F28" s="10" t="n">
        <x:f>E28/'Notes'!$B$6</x:f>
        <x:v>-0.01409</x:v>
      </x:c>
      <x:c r="G28" s="10" t="n">
        <x:v>0.625</x:v>
      </x:c>
      <x:c r="H28" s="12" t="n">
        <x:v>0.9</x:v>
      </x:c>
      <x:c r="I28" s="10" t="n">
        <x:v>0.0545</x:v>
      </x:c>
      <x:c r="J28" s="8" t="n">
        <x:v>2</x:v>
      </x:c>
      <x:c r="K28" s="8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13" hidden="0" customWidth="1"/>
    <x:col min="3" max="3" width="10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1" hidden="0" customWidth="1"/>
    <x:col min="12" max="12" width="11" hidden="0" customWidth="1"/>
  </x:cols>
  <x:sheetData>
    <x:row r="1">
      <x:c r="A1" s="2" t="str">
        <x:v>Shared-account historical results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4 March–30 August 2026. DD reserve is modeled, not actual combined tick equity.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2" customHeight="1">
      <x:c r="A4" s="6" t="str">
        <x:v>Portfolio</x:v>
      </x:c>
      <x:c r="B4" s="6" t="str">
        <x:v>Costs</x:v>
      </x:c>
      <x:c r="C4" s="6" t="str">
        <x:v>Trades</x:v>
      </x:c>
      <x:c r="D4" s="6" t="str">
        <x:v>Net USD</x:v>
      </x:c>
      <x:c r="E4" s="6" t="str">
        <x:v>Return</x:v>
      </x:c>
      <x:c r="F4" s="6" t="str">
        <x:v>Win rate</x:v>
      </x:c>
      <x:c r="G4" s="6" t="str">
        <x:v>Profit factor</x:v>
      </x:c>
      <x:c r="H4" s="6" t="str">
        <x:v>Closed DD</x:v>
      </x:c>
      <x:c r="I4" s="6" t="str">
        <x:v>Reserve DD</x:v>
      </x:c>
      <x:c r="J4" s="6" t="str">
        <x:v>Worst day USD</x:v>
      </x:c>
      <x:c r="K4" s="6" t="str">
        <x:v>Max wins</x:v>
      </x:c>
      <x:c r="L4" s="6" t="str">
        <x:v>Max losses</x:v>
      </x:c>
    </x:row>
    <x:row r="5" ht="32" customHeight="1">
      <x:c r="A5" s="7" t="str">
        <x:v>A Current exits</x:v>
      </x:c>
      <x:c r="B5" s="7" t="str">
        <x:v>Reference</x:v>
      </x:c>
      <x:c r="C5" s="8" t="n">
        <x:v>208</x:v>
      </x:c>
      <x:c r="D5" s="9" t="n">
        <x:v>4673.652605191102</x:v>
      </x:c>
      <x:c r="E5" s="10" t="n">
        <x:f>D5/'Notes'!$B$6</x:f>
        <x:v>0.46736526051911026</x:v>
      </x:c>
      <x:c r="F5" s="10" t="n">
        <x:v>0.7067307692307692</x:v>
      </x:c>
      <x:c r="G5" s="12" t="n">
        <x:v>3.3110166993291563</x:v>
      </x:c>
      <x:c r="H5" s="10" t="n">
        <x:v>0.01774925622810138</x:v>
      </x:c>
      <x:c r="I5" s="10" t="n">
        <x:v>0.02261581252491183</x:v>
      </x:c>
      <x:c r="J5" s="9" t="n">
        <x:v>209.63663333333352</x:v>
      </x:c>
      <x:c r="K5" s="8" t="n">
        <x:v>9</x:v>
      </x:c>
      <x:c r="L5" s="8" t="n">
        <x:v>3</x:v>
      </x:c>
    </x:row>
    <x:row r="6" ht="32" customHeight="1">
      <x:c r="A6" s="7" t="str">
        <x:v>B All 0.75R</x:v>
      </x:c>
      <x:c r="B6" s="7" t="str">
        <x:v>Reference</x:v>
      </x:c>
      <x:c r="C6" s="8" t="n">
        <x:v>211</x:v>
      </x:c>
      <x:c r="D6" s="9" t="n">
        <x:v>1565.427626468594</x:v>
      </x:c>
      <x:c r="E6" s="10" t="n">
        <x:f>D6/'Notes'!$B$6</x:f>
        <x:v>0.1565427626468594</x:v>
      </x:c>
      <x:c r="F6" s="10" t="n">
        <x:v>0.6113744075829384</x:v>
      </x:c>
      <x:c r="G6" s="12" t="n">
        <x:v>1.6250475072813642</x:v>
      </x:c>
      <x:c r="H6" s="10" t="n">
        <x:v>0.026246244547649268</x:v>
      </x:c>
      <x:c r="I6" s="10" t="n">
        <x:v>0.03726040344777088</x:v>
      </x:c>
      <x:c r="J6" s="9" t="n">
        <x:v>209.63663333333352</x:v>
      </x:c>
      <x:c r="K6" s="8" t="n">
        <x:v>9</x:v>
      </x:c>
      <x:c r="L6" s="8" t="n">
        <x:v>4</x:v>
      </x:c>
    </x:row>
    <x:row r="7" ht="32" customHeight="1">
      <x:c r="A7" s="7" t="str">
        <x:v>C All 0.50R</x:v>
      </x:c>
      <x:c r="B7" s="7" t="str">
        <x:v>Reference</x:v>
      </x:c>
      <x:c r="C7" s="8" t="n">
        <x:v>210</x:v>
      </x:c>
      <x:c r="D7" s="9" t="n">
        <x:v>1209.0289976685908</x:v>
      </x:c>
      <x:c r="E7" s="10" t="n">
        <x:f>D7/'Notes'!$B$6</x:f>
        <x:v>0.12090289976685908</x:v>
      </x:c>
      <x:c r="F7" s="10" t="n">
        <x:v>0.6523809523809524</x:v>
      </x:c>
      <x:c r="G7" s="12" t="n">
        <x:v>1.5366535784114588</x:v>
      </x:c>
      <x:c r="H7" s="10" t="n">
        <x:v>0.019995688782144284</x:v>
      </x:c>
      <x:c r="I7" s="10" t="n">
        <x:v>0.028184508713377267</x:v>
      </x:c>
      <x:c r="J7" s="9" t="n">
        <x:v>207.2617333333328</x:v>
      </x:c>
      <x:c r="K7" s="8" t="n">
        <x:v>9</x:v>
      </x:c>
      <x:c r="L7" s="8" t="n">
        <x:v>3</x:v>
      </x:c>
    </x:row>
    <x:row r="8" ht="32" customHeight="1">
      <x:c r="A8" s="7" t="str">
        <x:v>D Non-news 0.75R</x:v>
      </x:c>
      <x:c r="B8" s="7" t="str">
        <x:v>Reference</x:v>
      </x:c>
      <x:c r="C8" s="8" t="n">
        <x:v>211</x:v>
      </x:c>
      <x:c r="D8" s="9" t="n">
        <x:v>4558.8108670958645</x:v>
      </x:c>
      <x:c r="E8" s="10" t="n">
        <x:f>D8/'Notes'!$B$6</x:f>
        <x:v>0.45588108670958644</x:v>
      </x:c>
      <x:c r="F8" s="10" t="n">
        <x:v>0.6066350710900474</x:v>
      </x:c>
      <x:c r="G8" s="12" t="n">
        <x:v>2.741835100267597</x:v>
      </x:c>
      <x:c r="H8" s="10" t="n">
        <x:v>0.019560457347498904</x:v>
      </x:c>
      <x:c r="I8" s="10" t="n">
        <x:v>0.028846410902699227</x:v>
      </x:c>
      <x:c r="J8" s="9" t="n">
        <x:v>209.63663333333352</x:v>
      </x:c>
      <x:c r="K8" s="8" t="n">
        <x:v>9</x:v>
      </x:c>
      <x:c r="L8" s="8" t="n">
        <x:v>4</x:v>
      </x:c>
    </x:row>
    <x:row r="9" ht="32" customHeight="1">
      <x:c r="A9" s="7" t="str">
        <x:v>E Strategy-specific</x:v>
      </x:c>
      <x:c r="B9" s="7" t="str">
        <x:v>Reference</x:v>
      </x:c>
      <x:c r="C9" s="8" t="n">
        <x:v>212</x:v>
      </x:c>
      <x:c r="D9" s="9" t="n">
        <x:v>4828.424844211155</x:v>
      </x:c>
      <x:c r="E9" s="10" t="n">
        <x:f>D9/'Notes'!$B$6</x:f>
        <x:v>0.4828424844211155</x:v>
      </x:c>
      <x:c r="F9" s="10" t="n">
        <x:v>0.5660377358490566</x:v>
      </x:c>
      <x:c r="G9" s="12" t="n">
        <x:v>2.629223620602722</x:v>
      </x:c>
      <x:c r="H9" s="10" t="n">
        <x:v>0.02284252210581446</x:v>
      </x:c>
      <x:c r="I9" s="10" t="n">
        <x:v>0.03757284580834302</x:v>
      </x:c>
      <x:c r="J9" s="9" t="n">
        <x:v>230.94866666666348</x:v>
      </x:c>
      <x:c r="K9" s="8" t="n">
        <x:v>8</x:v>
      </x:c>
      <x:c r="L9" s="8" t="n">
        <x:v>5</x:v>
      </x:c>
    </x:row>
    <x:row r="10" ht="32" customHeight="1">
      <x:c r="A10" s="7" t="str">
        <x:v>F Strategy-specific + target protection</x:v>
      </x:c>
      <x:c r="B10" s="7" t="str">
        <x:v>Reference</x:v>
      </x:c>
      <x:c r="C10" s="8" t="n">
        <x:v>212</x:v>
      </x:c>
      <x:c r="D10" s="9" t="n">
        <x:v>4828.424844211155</x:v>
      </x:c>
      <x:c r="E10" s="10" t="n">
        <x:f>D10/'Notes'!$B$6</x:f>
        <x:v>0.4828424844211155</x:v>
      </x:c>
      <x:c r="F10" s="10" t="n">
        <x:v>0.5660377358490566</x:v>
      </x:c>
      <x:c r="G10" s="12" t="n">
        <x:v>2.629223620602722</x:v>
      </x:c>
      <x:c r="H10" s="10" t="n">
        <x:v>0.02284252210581446</x:v>
      </x:c>
      <x:c r="I10" s="10" t="n">
        <x:v>0.03757284580834302</x:v>
      </x:c>
      <x:c r="J10" s="9" t="n">
        <x:v>230.94866666666348</x:v>
      </x:c>
      <x:c r="K10" s="8" t="n">
        <x:v>8</x:v>
      </x:c>
      <x:c r="L10" s="8" t="n">
        <x:v>5</x:v>
      </x:c>
    </x:row>
    <x:row r="11" ht="32" customHeight="1">
      <x:c r="A11" s="7" t="str">
        <x:v>G Non-news M15 ATR</x:v>
      </x:c>
      <x:c r="B11" s="7" t="str">
        <x:v>Reference</x:v>
      </x:c>
      <x:c r="C11" s="8" t="n">
        <x:v>212</x:v>
      </x:c>
      <x:c r="D11" s="9" t="n">
        <x:v>4879.2748737926795</x:v>
      </x:c>
      <x:c r="E11" s="10" t="n">
        <x:f>D11/'Notes'!$B$6</x:f>
        <x:v>0.48792748737926794</x:v>
      </x:c>
      <x:c r="F11" s="10" t="n">
        <x:v>0.5613207547169812</x:v>
      </x:c>
      <x:c r="G11" s="12" t="n">
        <x:v>2.5779568118384564</x:v>
      </x:c>
      <x:c r="H11" s="10" t="n">
        <x:v>0.023467938074518545</x:v>
      </x:c>
      <x:c r="I11" s="10" t="n">
        <x:v>0.037552063371513185</x:v>
      </x:c>
      <x:c r="J11" s="9" t="n">
        <x:v>230.94866666666348</x:v>
      </x:c>
      <x:c r="K11" s="8" t="n">
        <x:v>9</x:v>
      </x:c>
      <x:c r="L11" s="8" t="n">
        <x:v>5</x:v>
      </x:c>
    </x:row>
    <x:row r="12" ht="32" customHeight="1">
      <x:c r="A12" s="7" t="str">
        <x:v>H Current + target protection</x:v>
      </x:c>
      <x:c r="B12" s="7" t="str">
        <x:v>Reference</x:v>
      </x:c>
      <x:c r="C12" s="8" t="n">
        <x:v>208</x:v>
      </x:c>
      <x:c r="D12" s="9" t="n">
        <x:v>4673.652605191102</x:v>
      </x:c>
      <x:c r="E12" s="10" t="n">
        <x:f>D12/'Notes'!$B$6</x:f>
        <x:v>0.46736526051911026</x:v>
      </x:c>
      <x:c r="F12" s="10" t="n">
        <x:v>0.7067307692307692</x:v>
      </x:c>
      <x:c r="G12" s="12" t="n">
        <x:v>3.3110166993291563</x:v>
      </x:c>
      <x:c r="H12" s="10" t="n">
        <x:v>0.01774925622810138</x:v>
      </x:c>
      <x:c r="I12" s="10" t="n">
        <x:v>0.02261581252491183</x:v>
      </x:c>
      <x:c r="J12" s="9" t="n">
        <x:v>209.63663333333352</x:v>
      </x:c>
      <x:c r="K12" s="8" t="n">
        <x:v>9</x:v>
      </x:c>
      <x:c r="L12" s="8" t="n">
        <x:v>3</x:v>
      </x:c>
    </x:row>
    <x:row r="13" ht="32" customHeight="1">
      <x:c r="A13" s="7" t="str">
        <x:v>A Current exits</x:v>
      </x:c>
      <x:c r="B13" s="7" t="str">
        <x:v>Stress</x:v>
      </x:c>
      <x:c r="C13" s="8" t="n">
        <x:v>207</x:v>
      </x:c>
      <x:c r="D13" s="9" t="n">
        <x:v>3229.5741607927775</x:v>
      </x:c>
      <x:c r="E13" s="10" t="n">
        <x:f>D13/'Notes'!$B$6</x:f>
        <x:v>0.32295741607927775</x:v>
      </x:c>
      <x:c r="F13" s="10" t="n">
        <x:v>0.6956521739130435</x:v>
      </x:c>
      <x:c r="G13" s="12" t="n">
        <x:v>2.3196681568300654</x:v>
      </x:c>
      <x:c r="H13" s="10" t="n">
        <x:v>0.023229021471034766</x:v>
      </x:c>
      <x:c r="I13" s="10" t="n">
        <x:v>0.02981310458440603</x:v>
      </x:c>
      <x:c r="J13" s="9" t="n">
        <x:v>261.60422169810954</x:v>
      </x:c>
      <x:c r="K13" s="8" t="n">
        <x:v>9</x:v>
      </x:c>
      <x:c r="L13" s="8" t="n">
        <x:v>3</x:v>
      </x:c>
    </x:row>
    <x:row r="14" ht="32" customHeight="1">
      <x:c r="A14" s="7" t="str">
        <x:v>B All 0.75R</x:v>
      </x:c>
      <x:c r="B14" s="7" t="str">
        <x:v>Stress</x:v>
      </x:c>
      <x:c r="C14" s="8" t="n">
        <x:v>209</x:v>
      </x:c>
      <x:c r="D14" s="9" t="n">
        <x:v>379.34392442964054</x:v>
      </x:c>
      <x:c r="E14" s="10" t="n">
        <x:f>D14/'Notes'!$B$6</x:f>
        <x:v>0.03793439244296405</x:v>
      </x:c>
      <x:c r="F14" s="10" t="n">
        <x:v>0.5789473684210527</x:v>
      </x:c>
      <x:c r="G14" s="12" t="n">
        <x:v>1.1262177694907105</x:v>
      </x:c>
      <x:c r="H14" s="10" t="n">
        <x:v>0.06198590067365732</x:v>
      </x:c>
      <x:c r="I14" s="10" t="n">
        <x:v>0.07012207240231533</x:v>
      </x:c>
      <x:c r="J14" s="9" t="n">
        <x:v>251.91766666666626</x:v>
      </x:c>
      <x:c r="K14" s="8" t="n">
        <x:v>9</x:v>
      </x:c>
      <x:c r="L14" s="8" t="n">
        <x:v>4</x:v>
      </x:c>
    </x:row>
    <x:row r="15" ht="32" customHeight="1">
      <x:c r="A15" s="7" t="str">
        <x:v>C All 0.50R</x:v>
      </x:c>
      <x:c r="B15" s="7" t="str">
        <x:v>Stress</x:v>
      </x:c>
      <x:c r="C15" s="8" t="n">
        <x:v>208</x:v>
      </x:c>
      <x:c r="D15" s="9" t="n">
        <x:v>144.83892507397104</x:v>
      </x:c>
      <x:c r="E15" s="10" t="n">
        <x:f>D15/'Notes'!$B$6</x:f>
        <x:v>0.014483892507397103</x:v>
      </x:c>
      <x:c r="F15" s="10" t="n">
        <x:v>0.6201923076923077</x:v>
      </x:c>
      <x:c r="G15" s="12" t="n">
        <x:v>1.0530121533450123</x:v>
      </x:c>
      <x:c r="H15" s="10" t="n">
        <x:v>0.04889544964337081</x:v>
      </x:c>
      <x:c r="I15" s="10" t="n">
        <x:v>0.05736877811724359</x:v>
      </x:c>
      <x:c r="J15" s="9" t="n">
        <x:v>239.66266666666888</x:v>
      </x:c>
      <x:c r="K15" s="8" t="n">
        <x:v>9</x:v>
      </x:c>
      <x:c r="L15" s="8" t="n">
        <x:v>4</x:v>
      </x:c>
    </x:row>
    <x:row r="16" ht="32" customHeight="1">
      <x:c r="A16" s="7" t="str">
        <x:v>D Non-news 0.75R</x:v>
      </x:c>
      <x:c r="B16" s="7" t="str">
        <x:v>Stress</x:v>
      </x:c>
      <x:c r="C16" s="8" t="n">
        <x:v>210</x:v>
      </x:c>
      <x:c r="D16" s="9" t="n">
        <x:v>3011.7998129550288</x:v>
      </x:c>
      <x:c r="E16" s="10" t="n">
        <x:f>D16/'Notes'!$B$6</x:f>
        <x:v>0.3011799812955029</x:v>
      </x:c>
      <x:c r="F16" s="10" t="n">
        <x:v>0.6</x:v>
      </x:c>
      <x:c r="G16" s="12" t="n">
        <x:v>1.969207794780435</x:v>
      </x:c>
      <x:c r="H16" s="10" t="n">
        <x:v>0.026543027154441387</x:v>
      </x:c>
      <x:c r="I16" s="10" t="n">
        <x:v>0.039191124662961624</x:v>
      </x:c>
      <x:c r="J16" s="9" t="n">
        <x:v>251.91766666666626</x:v>
      </x:c>
      <x:c r="K16" s="8" t="n">
        <x:v>9</x:v>
      </x:c>
      <x:c r="L16" s="8" t="n">
        <x:v>4</x:v>
      </x:c>
    </x:row>
    <x:row r="17" ht="32" customHeight="1">
      <x:c r="A17" s="7" t="str">
        <x:v>E Strategy-specific</x:v>
      </x:c>
      <x:c r="B17" s="7" t="str">
        <x:v>Stress</x:v>
      </x:c>
      <x:c r="C17" s="8" t="n">
        <x:v>210</x:v>
      </x:c>
      <x:c r="D17" s="9" t="n">
        <x:v>3250.5449770477353</x:v>
      </x:c>
      <x:c r="E17" s="10" t="n">
        <x:f>D17/'Notes'!$B$6</x:f>
        <x:v>0.3250544977047735</x:v>
      </x:c>
      <x:c r="F17" s="10" t="n">
        <x:v>0.5619047619047619</x:v>
      </x:c>
      <x:c r="G17" s="12" t="n">
        <x:v>1.9353571196947426</x:v>
      </x:c>
      <x:c r="H17" s="10" t="n">
        <x:v>0.028228574590251028</x:v>
      </x:c>
      <x:c r="I17" s="10" t="n">
        <x:v>0.04807185377119102</x:v>
      </x:c>
      <x:c r="J17" s="9" t="n">
        <x:v>295.9441666666662</x:v>
      </x:c>
      <x:c r="K17" s="8" t="n">
        <x:v>6</x:v>
      </x:c>
      <x:c r="L17" s="8" t="n">
        <x:v>5</x:v>
      </x:c>
    </x:row>
    <x:row r="18" ht="32" customHeight="1">
      <x:c r="A18" s="7" t="str">
        <x:v>F Strategy-specific + target protection</x:v>
      </x:c>
      <x:c r="B18" s="7" t="str">
        <x:v>Stress</x:v>
      </x:c>
      <x:c r="C18" s="8" t="n">
        <x:v>210</x:v>
      </x:c>
      <x:c r="D18" s="9" t="n">
        <x:v>3250.5449770477353</x:v>
      </x:c>
      <x:c r="E18" s="10" t="n">
        <x:f>D18/'Notes'!$B$6</x:f>
        <x:v>0.3250544977047735</x:v>
      </x:c>
      <x:c r="F18" s="10" t="n">
        <x:v>0.5619047619047619</x:v>
      </x:c>
      <x:c r="G18" s="12" t="n">
        <x:v>1.9353571196947426</x:v>
      </x:c>
      <x:c r="H18" s="10" t="n">
        <x:v>0.028228574590251028</x:v>
      </x:c>
      <x:c r="I18" s="10" t="n">
        <x:v>0.04807185377119102</x:v>
      </x:c>
      <x:c r="J18" s="9" t="n">
        <x:v>295.9441666666662</x:v>
      </x:c>
      <x:c r="K18" s="8" t="n">
        <x:v>6</x:v>
      </x:c>
      <x:c r="L18" s="8" t="n">
        <x:v>5</x:v>
      </x:c>
    </x:row>
    <x:row r="19" ht="32" customHeight="1">
      <x:c r="A19" s="7" t="str">
        <x:v>G Non-news M15 ATR</x:v>
      </x:c>
      <x:c r="B19" s="7" t="str">
        <x:v>Stress</x:v>
      </x:c>
      <x:c r="C19" s="8" t="n">
        <x:v>210</x:v>
      </x:c>
      <x:c r="D19" s="9" t="n">
        <x:v>3270.6496322425337</x:v>
      </x:c>
      <x:c r="E19" s="10" t="n">
        <x:f>D19/'Notes'!$B$6</x:f>
        <x:v>0.3270649632242534</x:v>
      </x:c>
      <x:c r="F19" s="10" t="n">
        <x:v>0.5571428571428572</x:v>
      </x:c>
      <x:c r="G19" s="12" t="n">
        <x:v>1.9042103985884151</x:v>
      </x:c>
      <x:c r="H19" s="10" t="n">
        <x:v>0.03225526655089524</x:v>
      </x:c>
      <x:c r="I19" s="10" t="n">
        <x:v>0.0480886236358983</x:v>
      </x:c>
      <x:c r="J19" s="9" t="n">
        <x:v>295.9441666666662</x:v>
      </x:c>
      <x:c r="K19" s="8" t="n">
        <x:v>9</x:v>
      </x:c>
      <x:c r="L19" s="8" t="n">
        <x:v>5</x:v>
      </x:c>
    </x:row>
    <x:row r="20" ht="32" customHeight="1">
      <x:c r="A20" s="7" t="str">
        <x:v>H Current + target protection</x:v>
      </x:c>
      <x:c r="B20" s="7" t="str">
        <x:v>Stress</x:v>
      </x:c>
      <x:c r="C20" s="8" t="n">
        <x:v>207</x:v>
      </x:c>
      <x:c r="D20" s="9" t="n">
        <x:v>3229.5741607927775</x:v>
      </x:c>
      <x:c r="E20" s="10" t="n">
        <x:f>D20/'Notes'!$B$6</x:f>
        <x:v>0.32295741607927775</x:v>
      </x:c>
      <x:c r="F20" s="10" t="n">
        <x:v>0.6956521739130435</x:v>
      </x:c>
      <x:c r="G20" s="12" t="n">
        <x:v>2.3196681568300654</x:v>
      </x:c>
      <x:c r="H20" s="10" t="n">
        <x:v>0.023229021471034766</x:v>
      </x:c>
      <x:c r="I20" s="10" t="n">
        <x:v>0.02981310458440603</x:v>
      </x:c>
      <x:c r="J20" s="9" t="n">
        <x:v>261.60422169810954</x:v>
      </x:c>
      <x:c r="K20" s="8" t="n">
        <x:v>9</x:v>
      </x:c>
      <x:c r="L20" s="8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</x:cols>
  <x:sheetData>
    <x:row r="1">
      <x:c r="A1" s="2" t="str">
        <x:v>Conditional FTMO outcomes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1,000 joint-week paths per row. Fitted-history scenarios, not validated forecasts.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42" customHeight="1">
      <x:c r="A4" s="6" t="str">
        <x:v>Portfolio</x:v>
      </x:c>
      <x:c r="B4" s="6" t="str">
        <x:v>Costs</x:v>
      </x:c>
      <x:c r="C4" s="6" t="str">
        <x:v>Paid 60d</x:v>
      </x:c>
      <x:c r="D4" s="6" t="str">
        <x:v>Paid 120d</x:v>
      </x:c>
      <x:c r="E4" s="6" t="str">
        <x:v>Paid 180d</x:v>
      </x:c>
      <x:c r="F4" s="6" t="str">
        <x:v>Funded 180d</x:v>
      </x:c>
      <x:c r="G4" s="6" t="str">
        <x:v>Breach 180d</x:v>
      </x:c>
      <x:c r="H4" s="6" t="str">
        <x:v>Funded median days</x:v>
      </x:c>
      <x:c r="I4" s="6" t="str">
        <x:v>Paid median days</x:v>
      </x:c>
    </x:row>
    <x:row r="5" ht="32" customHeight="1">
      <x:c r="A5" s="7" t="str">
        <x:v>A Current exits</x:v>
      </x:c>
      <x:c r="B5" s="7" t="str">
        <x:v>Reference</x:v>
      </x:c>
      <x:c r="C5" s="13" t="n">
        <x:v>0.068</x:v>
      </x:c>
      <x:c r="D5" s="13" t="n">
        <x:v>0.71</x:v>
      </x:c>
      <x:c r="E5" s="13" t="n">
        <x:v>0.982</x:v>
      </x:c>
      <x:c r="F5" s="13" t="n">
        <x:v>0.988</x:v>
      </x:c>
      <x:c r="G5" s="13" t="n">
        <x:v>0</x:v>
      </x:c>
      <x:c r="H5" s="11" t="n">
        <x:v>79.79306712962963</x:v>
      </x:c>
      <x:c r="I5" s="11" t="n">
        <x:v>100.61370949652735</x:v>
      </x:c>
    </x:row>
    <x:row r="6" ht="32" customHeight="1">
      <x:c r="A6" s="7" t="str">
        <x:v>B All 0.75R</x:v>
      </x:c>
      <x:c r="B6" s="7" t="str">
        <x:v>Reference</x:v>
      </x:c>
      <x:c r="C6" s="13" t="n">
        <x:v>0</x:v>
      </x:c>
      <x:c r="D6" s="13" t="n">
        <x:v>0.012</x:v>
      </x:c>
      <x:c r="E6" s="13" t="n">
        <x:v>0.303</x:v>
      </x:c>
      <x:c r="F6" s="13" t="n">
        <x:v>0.5</x:v>
      </x:c>
      <x:c r="G6" s="13" t="n">
        <x:v>0</x:v>
      </x:c>
      <x:c r="H6" s="11" t="n">
        <x:v>150.5378125</x:v>
      </x:c>
      <x:c r="I6" s="11" t="n">
        <x:v>156.69155092592592</x:v>
      </x:c>
    </x:row>
    <x:row r="7" ht="32" customHeight="1">
      <x:c r="A7" s="7" t="str">
        <x:v>C All 0.50R</x:v>
      </x:c>
      <x:c r="B7" s="7" t="str">
        <x:v>Reference</x:v>
      </x:c>
      <x:c r="C7" s="13" t="n">
        <x:v>0</x:v>
      </x:c>
      <x:c r="D7" s="13" t="n">
        <x:v>0</x:v>
      </x:c>
      <x:c r="E7" s="13" t="n">
        <x:v>0.092</x:v>
      </x:c>
      <x:c r="F7" s="13" t="n">
        <x:v>0.17600000000000002</x:v>
      </x:c>
      <x:c r="G7" s="13" t="n">
        <x:v>0</x:v>
      </x:c>
      <x:c r="H7" s="11" t="n">
        <x:v>157.63398148148147</x:v>
      </x:c>
      <x:c r="I7" s="11" t="n">
        <x:v>168.44699074074074</x:v>
      </x:c>
    </x:row>
    <x:row r="8" ht="32" customHeight="1">
      <x:c r="A8" s="7" t="str">
        <x:v>D Non-news 0.75R</x:v>
      </x:c>
      <x:c r="B8" s="7" t="str">
        <x:v>Reference</x:v>
      </x:c>
      <x:c r="C8" s="13" t="n">
        <x:v>0.07200000000000001</x:v>
      </x:c>
      <x:c r="D8" s="13" t="n">
        <x:v>0.669</x:v>
      </x:c>
      <x:c r="E8" s="13" t="n">
        <x:v>0.966</x:v>
      </x:c>
      <x:c r="F8" s="13" t="n">
        <x:v>0.985</x:v>
      </x:c>
      <x:c r="G8" s="13" t="n">
        <x:v>0</x:v>
      </x:c>
      <x:c r="H8" s="11" t="n">
        <x:v>80.60347222222222</x:v>
      </x:c>
      <x:c r="I8" s="11" t="n">
        <x:v>101.38645833333334</x:v>
      </x:c>
    </x:row>
    <x:row r="9" ht="32" customHeight="1">
      <x:c r="A9" s="7" t="str">
        <x:v>E Strategy-specific</x:v>
      </x:c>
      <x:c r="B9" s="7" t="str">
        <x:v>Reference</x:v>
      </x:c>
      <x:c r="C9" s="13" t="n">
        <x:v>0.10300000000000001</x:v>
      </x:c>
      <x:c r="D9" s="13" t="n">
        <x:v>0.7170000000000001</x:v>
      </x:c>
      <x:c r="E9" s="13" t="n">
        <x:v>0.961</x:v>
      </x:c>
      <x:c r="F9" s="13" t="n">
        <x:v>0.981</x:v>
      </x:c>
      <x:c r="G9" s="13" t="n">
        <x:v>0</x:v>
      </x:c>
      <x:c r="H9" s="11" t="n">
        <x:v>73.60347222222222</x:v>
      </x:c>
      <x:c r="I9" s="11" t="n">
        <x:v>95.60347222222222</x:v>
      </x:c>
    </x:row>
    <x:row r="10" ht="32" customHeight="1">
      <x:c r="A10" s="7" t="str">
        <x:v>F Strategy-specific + target protection</x:v>
      </x:c>
      <x:c r="B10" s="7" t="str">
        <x:v>Reference</x:v>
      </x:c>
      <x:c r="C10" s="13" t="n">
        <x:v>0.07400000000000001</x:v>
      </x:c>
      <x:c r="D10" s="13" t="n">
        <x:v>0.665</x:v>
      </x:c>
      <x:c r="E10" s="13" t="n">
        <x:v>0.9390000000000001</x:v>
      </x:c>
      <x:c r="F10" s="13" t="n">
        <x:v>0.975</x:v>
      </x:c>
      <x:c r="G10" s="13" t="n">
        <x:v>0</x:v>
      </x:c>
      <x:c r="H10" s="11" t="n">
        <x:v>79.79306712962963</x:v>
      </x:c>
      <x:c r="I10" s="11" t="n">
        <x:v>100.60347222222222</x:v>
      </x:c>
    </x:row>
    <x:row r="11" ht="32" customHeight="1">
      <x:c r="A11" s="7" t="str">
        <x:v>G Non-news M15 ATR</x:v>
      </x:c>
      <x:c r="B11" s="7" t="str">
        <x:v>Reference</x:v>
      </x:c>
      <x:c r="C11" s="13" t="n">
        <x:v>0.09699999999999999</x:v>
      </x:c>
      <x:c r="D11" s="13" t="n">
        <x:v>0.74</x:v>
      </x:c>
      <x:c r="E11" s="13" t="n">
        <x:v>0.968</x:v>
      </x:c>
      <x:c r="F11" s="13" t="n">
        <x:v>0.981</x:v>
      </x:c>
      <x:c r="G11" s="13" t="n">
        <x:v>0</x:v>
      </x:c>
      <x:c r="H11" s="11" t="n">
        <x:v>72.875</x:v>
      </x:c>
      <x:c r="I11" s="11" t="n">
        <x:v>94.60347222222222</x:v>
      </x:c>
    </x:row>
    <x:row r="12" ht="32" customHeight="1">
      <x:c r="A12" s="7" t="str">
        <x:v>H Current + target protection</x:v>
      </x:c>
      <x:c r="B12" s="7" t="str">
        <x:v>Reference</x:v>
      </x:c>
      <x:c r="C12" s="13" t="n">
        <x:v>0.059000000000000004</x:v>
      </x:c>
      <x:c r="D12" s="13" t="n">
        <x:v>0.619</x:v>
      </x:c>
      <x:c r="E12" s="13" t="n">
        <x:v>0.9540000000000001</x:v>
      </x:c>
      <x:c r="F12" s="13" t="n">
        <x:v>0.975</x:v>
      </x:c>
      <x:c r="G12" s="13" t="n">
        <x:v>0</x:v>
      </x:c>
      <x:c r="H12" s="11" t="n">
        <x:v>86.79306712962963</x:v>
      </x:c>
      <x:c r="I12" s="11" t="n">
        <x:v>107.60347222222222</x:v>
      </x:c>
    </x:row>
    <x:row r="13" ht="32" customHeight="1">
      <x:c r="A13" s="7" t="str">
        <x:v>A Current exits</x:v>
      </x:c>
      <x:c r="B13" s="7" t="str">
        <x:v>Stress</x:v>
      </x:c>
      <x:c r="C13" s="13" t="n">
        <x:v>0.03</x:v>
      </x:c>
      <x:c r="D13" s="13" t="n">
        <x:v>0.413</x:v>
      </x:c>
      <x:c r="E13" s="13" t="n">
        <x:v>0.8270000000000001</x:v>
      </x:c>
      <x:c r="F13" s="13" t="n">
        <x:v>0.907</x:v>
      </x:c>
      <x:c r="G13" s="13" t="n">
        <x:v>0</x:v>
      </x:c>
      <x:c r="H13" s="11" t="n">
        <x:v>100.81883101851852</x:v>
      </x:c>
      <x:c r="I13" s="11" t="n">
        <x:v>120.60347222222222</x:v>
      </x:c>
    </x:row>
    <x:row r="14" ht="32" customHeight="1">
      <x:c r="A14" s="7" t="str">
        <x:v>B All 0.75R</x:v>
      </x:c>
      <x:c r="B14" s="7" t="str">
        <x:v>Stress</x:v>
      </x:c>
      <x:c r="C14" s="13" t="n">
        <x:v>0</x:v>
      </x:c>
      <x:c r="D14" s="13" t="n">
        <x:v>0.001</x:v>
      </x:c>
      <x:c r="E14" s="13" t="n">
        <x:v>0.006999999999999999</x:v>
      </x:c>
      <x:c r="F14" s="13" t="n">
        <x:v>0.015</x:v>
      </x:c>
      <x:c r="G14" s="13" t="n">
        <x:v>0</x:v>
      </x:c>
      <x:c r="H14" s="11" t="n">
        <x:v>151.62954861111112</x:v>
      </x:c>
      <x:c r="I14" s="11" t="n">
        <x:v>144.6289699074074</x:v>
      </x:c>
    </x:row>
    <x:row r="15" ht="32" customHeight="1">
      <x:c r="A15" s="7" t="str">
        <x:v>C All 0.50R</x:v>
      </x:c>
      <x:c r="B15" s="7" t="str">
        <x:v>Stress</x:v>
      </x:c>
      <x:c r="C15" s="13" t="n">
        <x:v>0</x:v>
      </x:c>
      <x:c r="D15" s="13" t="n">
        <x:v>0</x:v>
      </x:c>
      <x:c r="E15" s="13" t="n">
        <x:v>0</x:v>
      </x:c>
      <x:c r="F15" s="13" t="n">
        <x:v>0</x:v>
      </x:c>
      <x:c r="G15" s="13" t="n">
        <x:v>0</x:v>
      </x:c>
      <x:c r="H15" s="11"/>
      <x:c r="I15" s="11"/>
    </x:row>
    <x:row r="16" ht="32" customHeight="1">
      <x:c r="A16" s="7" t="str">
        <x:v>D Non-news 0.75R</x:v>
      </x:c>
      <x:c r="B16" s="7" t="str">
        <x:v>Stress</x:v>
      </x:c>
      <x:c r="C16" s="13" t="n">
        <x:v>0.025</x:v>
      </x:c>
      <x:c r="D16" s="13" t="n">
        <x:v>0.358</x:v>
      </x:c>
      <x:c r="E16" s="13" t="n">
        <x:v>0.76</x:v>
      </x:c>
      <x:c r="F16" s="13" t="n">
        <x:v>0.862</x:v>
      </x:c>
      <x:c r="G16" s="13" t="n">
        <x:v>0</x:v>
      </x:c>
      <x:c r="H16" s="11" t="n">
        <x:v>101.60347222222222</x:v>
      </x:c>
      <x:c r="I16" s="11" t="n">
        <x:v>121.68001157407407</x:v>
      </x:c>
    </x:row>
    <x:row r="17" ht="32" customHeight="1">
      <x:c r="A17" s="7" t="str">
        <x:v>E Strategy-specific</x:v>
      </x:c>
      <x:c r="B17" s="7" t="str">
        <x:v>Stress</x:v>
      </x:c>
      <x:c r="C17" s="13" t="n">
        <x:v>0.043</x:v>
      </x:c>
      <x:c r="D17" s="13" t="n">
        <x:v>0.439</x:v>
      </x:c>
      <x:c r="E17" s="13" t="n">
        <x:v>0.794</x:v>
      </x:c>
      <x:c r="F17" s="13" t="n">
        <x:v>0.887</x:v>
      </x:c>
      <x:c r="G17" s="13" t="n">
        <x:v>0</x:v>
      </x:c>
      <x:c r="H17" s="11" t="n">
        <x:v>93.79306712962963</x:v>
      </x:c>
      <x:c r="I17" s="11" t="n">
        <x:v>114.60347222222222</x:v>
      </x:c>
    </x:row>
    <x:row r="18" ht="32" customHeight="1">
      <x:c r="A18" s="7" t="str">
        <x:v>F Strategy-specific + target protection</x:v>
      </x:c>
      <x:c r="B18" s="7" t="str">
        <x:v>Stress</x:v>
      </x:c>
      <x:c r="C18" s="13" t="n">
        <x:v>0.031</x:v>
      </x:c>
      <x:c r="D18" s="13" t="n">
        <x:v>0.384</x:v>
      </x:c>
      <x:c r="E18" s="13" t="n">
        <x:v>0.745</x:v>
      </x:c>
      <x:c r="F18" s="13" t="n">
        <x:v>0.86</x:v>
      </x:c>
      <x:c r="G18" s="13" t="n">
        <x:v>0</x:v>
      </x:c>
      <x:c r="H18" s="11" t="n">
        <x:v>99.60347222222222</x:v>
      </x:c>
      <x:c r="I18" s="11" t="n">
        <x:v>115.64291666666666</x:v>
      </x:c>
    </x:row>
    <x:row r="19" ht="32" customHeight="1">
      <x:c r="A19" s="7" t="str">
        <x:v>G Non-news M15 ATR</x:v>
      </x:c>
      <x:c r="B19" s="7" t="str">
        <x:v>Stress</x:v>
      </x:c>
      <x:c r="C19" s="13" t="n">
        <x:v>0.045</x:v>
      </x:c>
      <x:c r="D19" s="13" t="n">
        <x:v>0.46299999999999997</x:v>
      </x:c>
      <x:c r="E19" s="13" t="n">
        <x:v>0.802</x:v>
      </x:c>
      <x:c r="F19" s="13" t="n">
        <x:v>0.889</x:v>
      </x:c>
      <x:c r="G19" s="13" t="n">
        <x:v>0</x:v>
      </x:c>
      <x:c r="H19" s="11" t="n">
        <x:v>92.60347222222222</x:v>
      </x:c>
      <x:c r="I19" s="11" t="n">
        <x:v>112.875</x:v>
      </x:c>
    </x:row>
    <x:row r="20" ht="32" customHeight="1">
      <x:c r="A20" s="7" t="str">
        <x:v>H Current + target protection</x:v>
      </x:c>
      <x:c r="B20" s="7" t="str">
        <x:v>Stress</x:v>
      </x:c>
      <x:c r="C20" s="13" t="n">
        <x:v>0.023</x:v>
      </x:c>
      <x:c r="D20" s="13" t="n">
        <x:v>0.341</x:v>
      </x:c>
      <x:c r="E20" s="13" t="n">
        <x:v>0.754</x:v>
      </x:c>
      <x:c r="F20" s="13" t="n">
        <x:v>0.862</x:v>
      </x:c>
      <x:c r="G20" s="13" t="n">
        <x:v>0</x:v>
      </x:c>
      <x:c r="H20" s="11" t="n">
        <x:v>107.79306712962963</x:v>
      </x:c>
      <x:c r="I20" s="11" t="n">
        <x:v>122.76835648148148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2" hidden="0" customWidth="1"/>
  </x:cols>
  <x:sheetData>
    <x:row r="1">
      <x:c r="A1" s="2" t="str">
        <x:v>Scope and assumptions</x:v>
      </x:c>
      <x:c r="B1" s="1"/>
    </x:row>
    <x:row r="2">
      <x:c r="A2" s="1"/>
      <x:c r="B2" s="1"/>
    </x:row>
    <x:row r="3">
      <x:c r="A3" s="1"/>
      <x:c r="B3" s="1"/>
    </x:row>
    <x:row r="4" ht="44" customHeight="1">
      <x:c r="A4" s="7" t="str">
        <x:v>Study</x:v>
      </x:c>
      <x:c r="B4" s="7" t="str">
        <x:v>FTMO exit-management research, 27 September 2026. No deployment.</x:v>
      </x:c>
    </x:row>
    <x:row r="5" ht="44" customHeight="1">
      <x:c r="A5" s="7" t="str">
        <x:v>Basket</x:v>
      </x:c>
      <x:c r="B5" s="7" t="str">
        <x:v>Gold Value Area, XAU news, XAG news, Nasdaq Overnight, EMA3 Full Safe, ORB Volume Profile 0.75R.</x:v>
      </x:c>
    </x:row>
    <x:row r="6" ht="44" customHeight="1">
      <x:c r="A6" s="7" t="str">
        <x:v>Initial capital USD</x:v>
      </x:c>
      <x:c r="B6" s="14" t="n">
        <x:v>10000</x:v>
      </x:c>
    </x:row>
    <x:row r="7" ht="44" customHeight="1">
      <x:c r="A7" s="7" t="str">
        <x:v>Ordinary risk USD</x:v>
      </x:c>
      <x:c r="B7" s="14" t="n">
        <x:v>71.42857142857143</x:v>
      </x:c>
    </x:row>
    <x:row r="8" ht="44" customHeight="1">
      <x:c r="A8" s="7" t="str">
        <x:v>News risk per side USD</x:v>
      </x:c>
      <x:c r="B8" s="14" t="n">
        <x:v>10</x:v>
      </x:c>
    </x:row>
    <x:row r="9" ht="44" customHeight="1">
      <x:c r="A9" s="7" t="str">
        <x:v>Native source</x:v>
      </x:c>
      <x:c r="B9" s="7" t="str">
        <x:v>24 MT5 real-tick runs, isolated Exness tester, 150 ms delay; original per-EA sizing.</x:v>
      </x:c>
    </x:row>
    <x:row r="10" ht="44" customHeight="1">
      <x:c r="A10" s="7" t="str">
        <x:v>Portfolio model</x:v>
      </x:c>
      <x:c r="B10" s="7" t="str">
        <x:v>Strict down-rounded lots; $300 daily admission budget; $225 aggregate risk; $150 metals/symbol risk; $9,200 buffer.</x:v>
      </x:c>
    </x:row>
    <x:row r="11" ht="44" customHeight="1">
      <x:c r="A11" s="7" t="str">
        <x:v>FTMO model</x:v>
      </x:c>
      <x:c r="B11" s="7" t="str">
        <x:v>2-Step Swing: +10%, +5%, four entry days/phase, 5% daily limit, 10% static loss limit, Prague reset.</x:v>
      </x:c>
    </x:row>
    <x:row r="12" ht="44" customHeight="1">
      <x:c r="A12" s="7" t="str">
        <x:v>Margin assumption</x:v>
      </x:c>
      <x:c r="B12" s="7" t="str">
        <x:v>1:15 for metals and Nasdaq; 80% maximum reserved margin; not verified against a current FTMO server.</x:v>
      </x:c>
    </x:row>
    <x:row r="13" ht="44" customHeight="1">
      <x:c r="A13" s="7" t="str">
        <x:v>Stress</x:v>
      </x:c>
      <x:c r="B13" s="7" t="str">
        <x:v>Native fills plus commission floors, 10% gross profit haircut/loss expansion, extra price costs and adverse swap reserve.</x:v>
      </x:c>
    </x:row>
    <x:row r="14" ht="44" customHeight="1">
      <x:c r="A14" s="7" t="str">
        <x:v>Monte Carlo</x:v>
      </x:c>
      <x:c r="B14" s="7" t="str">
        <x:v>26 joint source weeks, 1,000 matched paths per portfolio/cost case, seed 20260926.</x:v>
      </x:c>
    </x:row>
    <x:row r="15" ht="44" customHeight="1">
      <x:c r="A15" s="7" t="str">
        <x:v>Time assumptions</x:v>
      </x:c>
      <x:c r="B15" s="7" t="str">
        <x:v>2 business days between phases, 5 until funded; reward after 14 calendar days while flat; 4 business days for payment; 80% share.</x:v>
      </x:c>
    </x:row>
    <x:row r="16" ht="44" customHeight="1">
      <x:c r="A16" s="7" t="str">
        <x:v>Drawdown limitation</x:v>
      </x:c>
      <x:c r="B16" s="7" t="str">
        <x:v>Reserve DD is not native combined floating equity. Stop gaps and disqualification risk are not bounded by the model.</x:v>
      </x:c>
    </x:row>
    <x:row r="17" ht="44" customHeight="1">
      <x:c r="A17" s="7" t="str">
        <x:v>Probability limitation</x:v>
      </x:c>
      <x:c r="B17" s="7" t="str">
        <x:v>Previously examined history and fitted news presets; no independent forecast claim. Zero modeled breaches does not mean no real risk.</x:v>
      </x:c>
    </x:row>
    <x:row r="18" ht="44" customHeight="1">
      <x:c r="A18" s="7" t="str">
        <x:v>Sources</x:v>
      </x:c>
      <x:c r="B18" s="7" t="str">
        <x:v>RESULTS.json, TABLES.json, REPORT.md and retained native reports/journals in this study.</x:v>
      </x:c>
    </x:row>
    <x:row r="19" ht="44" customHeight="1">
      <x:c r="A19" s="7" t="str">
        <x:v>FTMO comparison</x:v>
      </x:c>
      <x:c r="B19" s="7" t="str">
        <x:v>https://ftmo.com/en/comparison-table/</x:v>
      </x:c>
    </x:row>
    <x:row r="20" ht="44" customHeight="1">
      <x:c r="A20" s="7" t="str">
        <x:v>Swing rules</x:v>
      </x:c>
      <x:c r="B20" s="7" t="str">
        <x:v>https://ftmo.com/en/faq/ftmo-swing-account-type/</x:v>
      </x:c>
    </x:row>
    <x:row r="21" ht="44" customHeight="1">
      <x:c r="A21" s="7" t="str">
        <x:v>Forbidden practices</x:v>
      </x:c>
      <x:c r="B21" s="7" t="str">
        <x:v>https://ftmo.com/en/forbidden-trading-practices/</x:v>
      </x:c>
    </x:row>
    <x:row r="22" ht="44" customHeight="1">
      <x:c r="A22" s="7" t="str">
        <x:v>News eligibility</x:v>
      </x:c>
      <x:c r="B22" s="7" t="str">
        <x:v>Swing permits news generally, but this pre-news gap/straddle implementation needs FTMO clarification before deployment.</x:v>
      </x:c>
    </x:row>
    <x:row r="23" ht="44" customHeight="1">
      <x:c r="A23" s="7" t="str">
        <x:v>Exit definitions</x:v>
      </x:c>
      <x:c r="B23" s="7" t="str">
        <x:v>A current; B all .75R; C all .5R; D non-news .75R; E Gold/ORB profile, others ATR; F E + protection; G non-news ATR; H A + protection.</x:v>
      </x:c>
    </x:row>
  </x:sheetData>
  <x:pageMargins left="0.7" right="0.7" top="0.75" bottom="0.75" header="0.3" footer="0.3"/>
</x:worksheet>
</file>